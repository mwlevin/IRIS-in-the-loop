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/Documents/NetbeansProjects/IRIS2/sumo code/610/"/>
    </mc:Choice>
  </mc:AlternateContent>
  <xr:revisionPtr revIDLastSave="0" documentId="13_ncr:1_{9571BCFF-D3F6-D74A-8701-E08322D35AE3}" xr6:coauthVersionLast="47" xr6:coauthVersionMax="47" xr10:uidLastSave="{00000000-0000-0000-0000-000000000000}"/>
  <bookViews>
    <workbookView xWindow="16900" yWindow="1060" windowWidth="20100" windowHeight="16940" xr2:uid="{2BC283CD-2AF7-0B49-9788-373E66A4FC8E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 s="1"/>
  <c r="K5" i="1" s="1"/>
  <c r="K6" i="1" s="1"/>
  <c r="K7" i="1" s="1"/>
  <c r="K8" i="1" s="1"/>
  <c r="K9" i="1" s="1"/>
  <c r="K10" i="1" s="1"/>
  <c r="K11" i="1" s="1"/>
  <c r="K12" i="1" s="1"/>
  <c r="C9" i="1"/>
  <c r="C7" i="1"/>
  <c r="E3" i="1"/>
  <c r="E4" i="1" s="1"/>
  <c r="E2" i="1"/>
  <c r="C6" i="1" l="1"/>
  <c r="C5" i="1"/>
  <c r="E5" i="1" s="1"/>
  <c r="E6" i="1" s="1"/>
  <c r="E7" i="1" s="1"/>
  <c r="E8" i="1" s="1"/>
  <c r="E9" i="1" s="1"/>
  <c r="I13" i="1"/>
  <c r="K13" i="1" s="1"/>
  <c r="K14" i="1" s="1"/>
  <c r="K15" i="1" s="1"/>
  <c r="K16" i="1" s="1"/>
  <c r="K17" i="1" s="1"/>
  <c r="K18" i="1" s="1"/>
  <c r="I19" i="1" s="1"/>
  <c r="K19" i="1" s="1"/>
  <c r="I20" i="1" l="1"/>
  <c r="K20" i="1" s="1"/>
  <c r="K21" i="1" s="1"/>
  <c r="I22" i="1" s="1"/>
  <c r="K22" i="1" s="1"/>
  <c r="K23" i="1" s="1"/>
  <c r="K24" i="1" s="1"/>
  <c r="C10" i="1"/>
  <c r="E10" i="1" s="1"/>
  <c r="E11" i="1" s="1"/>
  <c r="E12" i="1" s="1"/>
  <c r="E13" i="1" s="1"/>
  <c r="E14" i="1" s="1"/>
  <c r="E15" i="1" s="1"/>
  <c r="E16" i="1" s="1"/>
  <c r="C17" i="1" s="1"/>
  <c r="E17" i="1" s="1"/>
  <c r="E18" i="1" s="1"/>
  <c r="E19" i="1" s="1"/>
  <c r="E20" i="1" s="1"/>
  <c r="E21" i="1" s="1"/>
  <c r="E22" i="1" s="1"/>
  <c r="E23" i="1" s="1"/>
  <c r="C24" i="1" s="1"/>
  <c r="E24" i="1" s="1"/>
  <c r="E25" i="1" s="1"/>
  <c r="E26" i="1" s="1"/>
  <c r="I25" i="1" l="1"/>
  <c r="K25" i="1" s="1"/>
</calcChain>
</file>

<file path=xl/sharedStrings.xml><?xml version="1.0" encoding="utf-8"?>
<sst xmlns="http://schemas.openxmlformats.org/spreadsheetml/2006/main" count="128" uniqueCount="71">
  <si>
    <t>ent-WB610</t>
  </si>
  <si>
    <t>entrance</t>
  </si>
  <si>
    <t>exit-WB610/University-2</t>
  </si>
  <si>
    <t>exit</t>
  </si>
  <si>
    <t>ent-WB610/University</t>
  </si>
  <si>
    <t>ent-WB610/SB47</t>
  </si>
  <si>
    <t>ent-WB610/CoonRapids</t>
  </si>
  <si>
    <t>ent-WB610/Foley</t>
  </si>
  <si>
    <t>ent-WB610/River</t>
  </si>
  <si>
    <t>exit-WB610/SB252</t>
  </si>
  <si>
    <t>ent-WB610/NB252</t>
  </si>
  <si>
    <t>exit-WB610/NBNoble</t>
  </si>
  <si>
    <t>ent-WB610/SBNoble</t>
  </si>
  <si>
    <t>exit-WB610/NBZane</t>
  </si>
  <si>
    <t>ent-WB610/SBZane</t>
  </si>
  <si>
    <t>exit-WB610/NBBroadway</t>
  </si>
  <si>
    <t>ent-WB610/Broadway</t>
  </si>
  <si>
    <t>exit-WB610/NB169-2</t>
  </si>
  <si>
    <t>ent-WB610/NB169</t>
  </si>
  <si>
    <t>exit-WB610/SB169-2</t>
  </si>
  <si>
    <t>ent-WB610/SB169</t>
  </si>
  <si>
    <t>exit-WB610/NBZachary</t>
  </si>
  <si>
    <t>ent-WB610/SBZachary</t>
  </si>
  <si>
    <t>exit-WB610/NBElmCreek</t>
  </si>
  <si>
    <t>ent-WB610/WB81</t>
  </si>
  <si>
    <t>exit-WB610/WB81-2</t>
  </si>
  <si>
    <t>ent-WB610/SBMapleGrove</t>
  </si>
  <si>
    <t>exit-WB610-94</t>
  </si>
  <si>
    <t>detector</t>
  </si>
  <si>
    <t>count</t>
  </si>
  <si>
    <t>location</t>
  </si>
  <si>
    <t>type</t>
  </si>
  <si>
    <t>this should be a very large number</t>
  </si>
  <si>
    <t>ent-EB610-94</t>
  </si>
  <si>
    <t>exit-EB610/NBMapleGrove</t>
  </si>
  <si>
    <t>ent-EB610/SBMapleGrove</t>
  </si>
  <si>
    <t>exit-EB610/EB81</t>
  </si>
  <si>
    <t>ent-EB610/EB81-2</t>
  </si>
  <si>
    <t>exit-EB610/SBZachary</t>
  </si>
  <si>
    <t>ent-EB610/NBZachary</t>
  </si>
  <si>
    <t>exit-EB610/SB169</t>
  </si>
  <si>
    <t>ent-EB610/SB169-2</t>
  </si>
  <si>
    <t>exit-EB610/NB169</t>
  </si>
  <si>
    <t>ent-EB610/NB169-2</t>
  </si>
  <si>
    <t>exit-EB610/Broadway</t>
  </si>
  <si>
    <t>ent-EB610/NBBroadway</t>
  </si>
  <si>
    <t>exit-EB610/SBZane</t>
  </si>
  <si>
    <t>ent-EB610/NBZane</t>
  </si>
  <si>
    <t>exit-EB610/SBNoble</t>
  </si>
  <si>
    <t>ent-EB610/NBNoble</t>
  </si>
  <si>
    <t>exit-EB610/SB252</t>
  </si>
  <si>
    <t>ent-EB610/NB252</t>
  </si>
  <si>
    <t>exit-EB610/River</t>
  </si>
  <si>
    <t>exit-EB610/CoonRapids</t>
  </si>
  <si>
    <t>exit-EB610/NB47</t>
  </si>
  <si>
    <t>exit-EB610/NBUniversity</t>
  </si>
  <si>
    <t>ent-EB610/University</t>
  </si>
  <si>
    <t>exit-EB610</t>
  </si>
  <si>
    <t>4180, 4181, 4182</t>
  </si>
  <si>
    <t>4186, 4187</t>
  </si>
  <si>
    <t>missing</t>
  </si>
  <si>
    <t>[8239+8240]-carry</t>
  </si>
  <si>
    <t>[8251+8252]-carry</t>
  </si>
  <si>
    <t>[4171, 4172, 4173] - carry</t>
  </si>
  <si>
    <t>carry</t>
  </si>
  <si>
    <t>[8363+5346+5347+5348]  - below - carry</t>
  </si>
  <si>
    <t>5385+5386+5387</t>
  </si>
  <si>
    <t>[8239, 8240]-carry</t>
  </si>
  <si>
    <t>[4062, 4063]-carry</t>
  </si>
  <si>
    <t>default enter</t>
  </si>
  <si>
    <t>default exit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</si>
</sst>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5DA4C-93A1-6E49-88D5-69A880C4C78A}">
  <dimension ref="A1:Q27"/>
  <sheetViews>
    <sheetView tabSelected="1" workbookViewId="0">
      <selection activeCell="A9" sqref="A9"/>
    </sheetView>
  </sheetViews>
  <sheetFormatPr baseColWidth="10" defaultRowHeight="16" x14ac:dyDescent="0.2"/>
  <cols>
    <col min="1" max="1" width="21.1640625" bestFit="1" customWidth="1"/>
    <col min="7" max="7" width="23.33203125" bestFit="1" customWidth="1"/>
  </cols>
  <sheetData>
    <row r="1" spans="1:17" x14ac:dyDescent="0.2">
      <c r="A1" t="s">
        <v>30</v>
      </c>
      <c r="B1" t="s">
        <v>31</v>
      </c>
      <c r="C1" t="s">
        <v>29</v>
      </c>
      <c r="D1" t="s">
        <v>28</v>
      </c>
      <c r="E1" t="s">
        <v>64</v>
      </c>
      <c r="G1" t="s">
        <v>30</v>
      </c>
      <c r="H1" t="s">
        <v>31</v>
      </c>
      <c r="I1" t="s">
        <v>29</v>
      </c>
      <c r="J1" t="s">
        <v>28</v>
      </c>
      <c r="K1" t="s">
        <v>64</v>
      </c>
      <c r="M1" t="s">
        <v>69</v>
      </c>
      <c r="N1">
        <v>0.1</v>
      </c>
      <c r="Q1" s="1">
        <v>45847</v>
      </c>
    </row>
    <row r="2" spans="1:17" x14ac:dyDescent="0.2">
      <c r="A2" t="s">
        <v>0</v>
      </c>
      <c r="B2" t="s">
        <v>1</v>
      </c>
      <c r="C2">
        <v>3136</v>
      </c>
      <c r="D2" t="s">
        <v>58</v>
      </c>
      <c r="E2">
        <f>C2</f>
        <v>3136</v>
      </c>
      <c r="G2" t="s">
        <v>33</v>
      </c>
      <c r="H2" t="s">
        <v>1</v>
      </c>
      <c r="I2">
        <v>4151</v>
      </c>
      <c r="J2" t="s">
        <v>66</v>
      </c>
      <c r="K2">
        <f>I2</f>
        <v>4151</v>
      </c>
      <c r="M2" t="s">
        <v>70</v>
      </c>
      <c r="N2">
        <v>0.2</v>
      </c>
    </row>
    <row r="3" spans="1:17" x14ac:dyDescent="0.2">
      <c r="A3" t="s">
        <v>2</v>
      </c>
      <c r="B3" t="s">
        <v>3</v>
      </c>
      <c r="C3">
        <v>149</v>
      </c>
      <c r="D3">
        <v>4102</v>
      </c>
      <c r="E3">
        <f>IF(B3="exit",E2-C3, E2+C3)</f>
        <v>2987</v>
      </c>
      <c r="G3" t="s">
        <v>34</v>
      </c>
      <c r="H3" t="s">
        <v>3</v>
      </c>
      <c r="I3">
        <v>179</v>
      </c>
      <c r="J3">
        <v>7731</v>
      </c>
      <c r="K3">
        <f>IF(H3="exit",K2-I3, K2+I3)</f>
        <v>3972</v>
      </c>
    </row>
    <row r="4" spans="1:17" x14ac:dyDescent="0.2">
      <c r="A4" t="s">
        <v>4</v>
      </c>
      <c r="B4" t="s">
        <v>1</v>
      </c>
      <c r="C4">
        <v>531</v>
      </c>
      <c r="D4">
        <v>4178</v>
      </c>
      <c r="E4">
        <f t="shared" ref="E4:E26" si="0">IF(B4="exit",E3-C4, E3+C4)</f>
        <v>3518</v>
      </c>
      <c r="G4" t="s">
        <v>35</v>
      </c>
      <c r="H4" t="s">
        <v>1</v>
      </c>
      <c r="I4">
        <v>708</v>
      </c>
      <c r="J4">
        <v>7732</v>
      </c>
      <c r="K4">
        <f t="shared" ref="K4:K25" si="1">IF(H4="exit",K3-I4, K3+I4)</f>
        <v>4680</v>
      </c>
    </row>
    <row r="5" spans="1:17" x14ac:dyDescent="0.2">
      <c r="A5" t="s">
        <v>5</v>
      </c>
      <c r="B5" t="s">
        <v>1</v>
      </c>
      <c r="C5">
        <f>ROUND(E4*$N$1, 0)</f>
        <v>352</v>
      </c>
      <c r="D5" t="s">
        <v>63</v>
      </c>
      <c r="E5">
        <f t="shared" si="0"/>
        <v>3870</v>
      </c>
      <c r="G5" t="s">
        <v>36</v>
      </c>
      <c r="H5" t="s">
        <v>3</v>
      </c>
      <c r="I5">
        <v>375</v>
      </c>
      <c r="J5">
        <v>7733</v>
      </c>
      <c r="K5">
        <f t="shared" si="1"/>
        <v>4305</v>
      </c>
    </row>
    <row r="6" spans="1:17" x14ac:dyDescent="0.2">
      <c r="A6" t="s">
        <v>6</v>
      </c>
      <c r="B6" t="s">
        <v>1</v>
      </c>
      <c r="C6">
        <f>ROUND(E4*$N$1, 0)</f>
        <v>352</v>
      </c>
      <c r="D6" t="s">
        <v>59</v>
      </c>
      <c r="E6">
        <f t="shared" si="0"/>
        <v>4222</v>
      </c>
      <c r="G6" t="s">
        <v>37</v>
      </c>
      <c r="H6" t="s">
        <v>1</v>
      </c>
      <c r="I6">
        <v>539</v>
      </c>
      <c r="J6">
        <v>6990</v>
      </c>
      <c r="K6">
        <f t="shared" si="1"/>
        <v>4844</v>
      </c>
    </row>
    <row r="7" spans="1:17" x14ac:dyDescent="0.2">
      <c r="A7" t="s">
        <v>7</v>
      </c>
      <c r="B7" t="s">
        <v>1</v>
      </c>
      <c r="C7">
        <f>3398-2987</f>
        <v>411</v>
      </c>
      <c r="D7" t="s">
        <v>62</v>
      </c>
      <c r="E7">
        <f t="shared" si="0"/>
        <v>4633</v>
      </c>
      <c r="G7" t="s">
        <v>38</v>
      </c>
      <c r="H7" t="s">
        <v>3</v>
      </c>
      <c r="I7">
        <v>120</v>
      </c>
      <c r="J7">
        <v>6995</v>
      </c>
      <c r="K7">
        <f t="shared" si="1"/>
        <v>4724</v>
      </c>
    </row>
    <row r="8" spans="1:17" x14ac:dyDescent="0.2">
      <c r="A8" t="s">
        <v>8</v>
      </c>
      <c r="B8" t="s">
        <v>1</v>
      </c>
      <c r="C8">
        <v>863</v>
      </c>
      <c r="D8">
        <v>8248</v>
      </c>
      <c r="E8">
        <f t="shared" si="0"/>
        <v>5496</v>
      </c>
      <c r="G8" t="s">
        <v>39</v>
      </c>
      <c r="H8" t="s">
        <v>1</v>
      </c>
      <c r="I8">
        <v>467</v>
      </c>
      <c r="J8">
        <v>6996</v>
      </c>
      <c r="K8">
        <f t="shared" si="1"/>
        <v>5191</v>
      </c>
    </row>
    <row r="9" spans="1:17" x14ac:dyDescent="0.2">
      <c r="A9" t="s">
        <v>9</v>
      </c>
      <c r="B9" t="s">
        <v>3</v>
      </c>
      <c r="C9">
        <f>4792-3192</f>
        <v>1600</v>
      </c>
      <c r="D9" t="s">
        <v>60</v>
      </c>
      <c r="E9">
        <f t="shared" si="0"/>
        <v>3896</v>
      </c>
      <c r="G9" t="s">
        <v>40</v>
      </c>
      <c r="H9" t="s">
        <v>3</v>
      </c>
      <c r="I9">
        <v>460</v>
      </c>
      <c r="J9">
        <v>7008</v>
      </c>
      <c r="K9">
        <f t="shared" si="1"/>
        <v>4731</v>
      </c>
    </row>
    <row r="10" spans="1:17" x14ac:dyDescent="0.2">
      <c r="A10" t="s">
        <v>10</v>
      </c>
      <c r="B10" t="s">
        <v>1</v>
      </c>
      <c r="C10">
        <f>ROUND(E9*$N$1, 0)</f>
        <v>390</v>
      </c>
      <c r="D10" t="s">
        <v>61</v>
      </c>
      <c r="E10">
        <f t="shared" si="0"/>
        <v>4286</v>
      </c>
      <c r="G10" t="s">
        <v>41</v>
      </c>
      <c r="H10" t="s">
        <v>1</v>
      </c>
      <c r="I10">
        <v>1058</v>
      </c>
      <c r="J10">
        <v>7016</v>
      </c>
      <c r="K10">
        <f t="shared" si="1"/>
        <v>5789</v>
      </c>
    </row>
    <row r="11" spans="1:17" x14ac:dyDescent="0.2">
      <c r="A11" t="s">
        <v>11</v>
      </c>
      <c r="B11" t="s">
        <v>3</v>
      </c>
      <c r="C11">
        <v>619</v>
      </c>
      <c r="D11">
        <v>8260</v>
      </c>
      <c r="E11">
        <f t="shared" si="0"/>
        <v>3667</v>
      </c>
      <c r="G11" t="s">
        <v>42</v>
      </c>
      <c r="H11" t="s">
        <v>3</v>
      </c>
      <c r="I11">
        <v>268</v>
      </c>
      <c r="J11">
        <v>7010</v>
      </c>
      <c r="K11">
        <f t="shared" si="1"/>
        <v>5521</v>
      </c>
    </row>
    <row r="12" spans="1:17" x14ac:dyDescent="0.2">
      <c r="A12" t="s">
        <v>12</v>
      </c>
      <c r="B12" t="s">
        <v>1</v>
      </c>
      <c r="C12">
        <v>909</v>
      </c>
      <c r="D12">
        <v>8230</v>
      </c>
      <c r="E12">
        <f t="shared" si="0"/>
        <v>4576</v>
      </c>
      <c r="G12" t="s">
        <v>43</v>
      </c>
      <c r="H12" t="s">
        <v>1</v>
      </c>
      <c r="I12">
        <v>272</v>
      </c>
      <c r="J12">
        <v>7032</v>
      </c>
      <c r="K12">
        <f t="shared" si="1"/>
        <v>5793</v>
      </c>
    </row>
    <row r="13" spans="1:17" x14ac:dyDescent="0.2">
      <c r="A13" t="s">
        <v>13</v>
      </c>
      <c r="B13" t="s">
        <v>3</v>
      </c>
      <c r="C13">
        <v>669</v>
      </c>
      <c r="D13">
        <v>8269</v>
      </c>
      <c r="E13">
        <f t="shared" si="0"/>
        <v>3907</v>
      </c>
      <c r="G13" t="s">
        <v>44</v>
      </c>
      <c r="H13" t="s">
        <v>3</v>
      </c>
      <c r="I13">
        <f>ROUND(K12*$N$2, 0)</f>
        <v>1159</v>
      </c>
      <c r="J13" t="s">
        <v>60</v>
      </c>
      <c r="K13">
        <f t="shared" si="1"/>
        <v>4634</v>
      </c>
    </row>
    <row r="14" spans="1:17" x14ac:dyDescent="0.2">
      <c r="A14" t="s">
        <v>14</v>
      </c>
      <c r="B14" t="s">
        <v>1</v>
      </c>
      <c r="C14">
        <v>395</v>
      </c>
      <c r="D14">
        <v>8274</v>
      </c>
      <c r="E14">
        <f t="shared" si="0"/>
        <v>4302</v>
      </c>
      <c r="G14" t="s">
        <v>45</v>
      </c>
      <c r="H14" t="s">
        <v>1</v>
      </c>
      <c r="I14">
        <v>262</v>
      </c>
      <c r="J14">
        <v>8212</v>
      </c>
      <c r="K14">
        <f t="shared" si="1"/>
        <v>4896</v>
      </c>
    </row>
    <row r="15" spans="1:17" x14ac:dyDescent="0.2">
      <c r="A15" t="s">
        <v>15</v>
      </c>
      <c r="B15" t="s">
        <v>3</v>
      </c>
      <c r="C15">
        <v>623</v>
      </c>
      <c r="D15">
        <v>8278</v>
      </c>
      <c r="E15">
        <f t="shared" si="0"/>
        <v>3679</v>
      </c>
      <c r="G15" t="s">
        <v>46</v>
      </c>
      <c r="H15" t="s">
        <v>3</v>
      </c>
      <c r="I15">
        <v>342</v>
      </c>
      <c r="J15">
        <v>8217</v>
      </c>
      <c r="K15">
        <f t="shared" si="1"/>
        <v>4554</v>
      </c>
    </row>
    <row r="16" spans="1:17" x14ac:dyDescent="0.2">
      <c r="A16" t="s">
        <v>16</v>
      </c>
      <c r="B16" t="s">
        <v>1</v>
      </c>
      <c r="C16">
        <v>81</v>
      </c>
      <c r="D16">
        <v>8280</v>
      </c>
      <c r="E16">
        <f t="shared" si="0"/>
        <v>3760</v>
      </c>
      <c r="G16" t="s">
        <v>47</v>
      </c>
      <c r="H16" t="s">
        <v>1</v>
      </c>
      <c r="I16">
        <v>565</v>
      </c>
      <c r="J16">
        <v>8220</v>
      </c>
      <c r="K16">
        <f t="shared" si="1"/>
        <v>5119</v>
      </c>
    </row>
    <row r="17" spans="1:11" x14ac:dyDescent="0.2">
      <c r="A17" t="s">
        <v>17</v>
      </c>
      <c r="B17" t="s">
        <v>3</v>
      </c>
      <c r="C17">
        <f>ROUND(E16*$N$2, 0)</f>
        <v>752</v>
      </c>
      <c r="D17">
        <v>7007</v>
      </c>
      <c r="E17">
        <f t="shared" si="0"/>
        <v>3008</v>
      </c>
      <c r="G17" t="s">
        <v>48</v>
      </c>
      <c r="H17" t="s">
        <v>3</v>
      </c>
      <c r="I17">
        <v>252</v>
      </c>
      <c r="J17">
        <v>8226</v>
      </c>
      <c r="K17">
        <f t="shared" si="1"/>
        <v>4867</v>
      </c>
    </row>
    <row r="18" spans="1:11" x14ac:dyDescent="0.2">
      <c r="A18" t="s">
        <v>18</v>
      </c>
      <c r="B18" t="s">
        <v>1</v>
      </c>
      <c r="C18">
        <v>478</v>
      </c>
      <c r="D18">
        <v>7020</v>
      </c>
      <c r="E18">
        <f t="shared" si="0"/>
        <v>3486</v>
      </c>
      <c r="G18" t="s">
        <v>49</v>
      </c>
      <c r="H18" t="s">
        <v>1</v>
      </c>
      <c r="I18">
        <v>887</v>
      </c>
      <c r="J18">
        <v>8229</v>
      </c>
      <c r="K18">
        <f t="shared" si="1"/>
        <v>5754</v>
      </c>
    </row>
    <row r="19" spans="1:11" x14ac:dyDescent="0.2">
      <c r="A19" t="s">
        <v>19</v>
      </c>
      <c r="B19" t="s">
        <v>3</v>
      </c>
      <c r="C19">
        <v>193</v>
      </c>
      <c r="D19">
        <v>7005</v>
      </c>
      <c r="E19">
        <f t="shared" si="0"/>
        <v>3293</v>
      </c>
      <c r="G19" t="s">
        <v>50</v>
      </c>
      <c r="H19" t="s">
        <v>3</v>
      </c>
      <c r="I19">
        <f>ROUND(K18*$N$2, 0)</f>
        <v>1151</v>
      </c>
      <c r="J19" t="s">
        <v>60</v>
      </c>
      <c r="K19">
        <f t="shared" si="1"/>
        <v>4603</v>
      </c>
    </row>
    <row r="20" spans="1:11" x14ac:dyDescent="0.2">
      <c r="A20" t="s">
        <v>20</v>
      </c>
      <c r="B20" t="s">
        <v>1</v>
      </c>
      <c r="C20">
        <v>121</v>
      </c>
      <c r="D20">
        <v>7006</v>
      </c>
      <c r="E20">
        <f t="shared" si="0"/>
        <v>3414</v>
      </c>
      <c r="G20" t="s">
        <v>51</v>
      </c>
      <c r="H20" t="s">
        <v>1</v>
      </c>
      <c r="I20">
        <f>K19-3192</f>
        <v>1411</v>
      </c>
      <c r="J20" t="s">
        <v>67</v>
      </c>
      <c r="K20">
        <f t="shared" si="1"/>
        <v>6014</v>
      </c>
    </row>
    <row r="21" spans="1:11" x14ac:dyDescent="0.2">
      <c r="A21" t="s">
        <v>21</v>
      </c>
      <c r="B21" t="s">
        <v>3</v>
      </c>
      <c r="C21">
        <v>621</v>
      </c>
      <c r="D21">
        <v>7025</v>
      </c>
      <c r="E21">
        <f t="shared" si="0"/>
        <v>2793</v>
      </c>
      <c r="G21" t="s">
        <v>52</v>
      </c>
      <c r="H21" t="s">
        <v>3</v>
      </c>
      <c r="I21">
        <v>688</v>
      </c>
      <c r="J21">
        <v>4054</v>
      </c>
      <c r="K21">
        <f t="shared" si="1"/>
        <v>5326</v>
      </c>
    </row>
    <row r="22" spans="1:11" x14ac:dyDescent="0.2">
      <c r="A22" t="s">
        <v>22</v>
      </c>
      <c r="B22" t="s">
        <v>1</v>
      </c>
      <c r="C22">
        <v>181</v>
      </c>
      <c r="D22">
        <v>7028</v>
      </c>
      <c r="E22">
        <f t="shared" si="0"/>
        <v>2974</v>
      </c>
      <c r="G22" t="s">
        <v>53</v>
      </c>
      <c r="H22" t="s">
        <v>3</v>
      </c>
      <c r="I22">
        <f>ROUND(K21*$N$2, 0)</f>
        <v>1065</v>
      </c>
      <c r="J22">
        <v>4064</v>
      </c>
      <c r="K22">
        <f t="shared" si="1"/>
        <v>4261</v>
      </c>
    </row>
    <row r="23" spans="1:11" x14ac:dyDescent="0.2">
      <c r="A23" t="s">
        <v>23</v>
      </c>
      <c r="B23" t="s">
        <v>3</v>
      </c>
      <c r="C23">
        <v>268</v>
      </c>
      <c r="D23">
        <v>7031</v>
      </c>
      <c r="E23">
        <f t="shared" si="0"/>
        <v>2706</v>
      </c>
      <c r="G23" t="s">
        <v>54</v>
      </c>
      <c r="H23" t="s">
        <v>3</v>
      </c>
      <c r="I23">
        <v>412</v>
      </c>
      <c r="J23">
        <v>4177</v>
      </c>
      <c r="K23">
        <f t="shared" si="1"/>
        <v>3849</v>
      </c>
    </row>
    <row r="24" spans="1:11" x14ac:dyDescent="0.2">
      <c r="A24" t="s">
        <v>25</v>
      </c>
      <c r="B24" t="s">
        <v>3</v>
      </c>
      <c r="C24">
        <f>ROUND(E23*$N$2, 0)</f>
        <v>541</v>
      </c>
      <c r="D24" t="s">
        <v>65</v>
      </c>
      <c r="E24">
        <f t="shared" si="0"/>
        <v>2165</v>
      </c>
      <c r="G24" t="s">
        <v>55</v>
      </c>
      <c r="H24" t="s">
        <v>3</v>
      </c>
      <c r="I24">
        <v>256</v>
      </c>
      <c r="J24">
        <v>4061</v>
      </c>
      <c r="K24">
        <f t="shared" si="1"/>
        <v>3593</v>
      </c>
    </row>
    <row r="25" spans="1:11" x14ac:dyDescent="0.2">
      <c r="A25" t="s">
        <v>24</v>
      </c>
      <c r="B25" t="s">
        <v>1</v>
      </c>
      <c r="C25">
        <v>130</v>
      </c>
      <c r="D25">
        <v>7730</v>
      </c>
      <c r="E25">
        <f t="shared" si="0"/>
        <v>2295</v>
      </c>
      <c r="G25" t="s">
        <v>56</v>
      </c>
      <c r="H25" t="s">
        <v>1</v>
      </c>
      <c r="I25">
        <f>K24-2272</f>
        <v>1321</v>
      </c>
      <c r="J25" t="s">
        <v>68</v>
      </c>
      <c r="K25">
        <f t="shared" si="1"/>
        <v>4914</v>
      </c>
    </row>
    <row r="26" spans="1:11" x14ac:dyDescent="0.2">
      <c r="A26" t="s">
        <v>26</v>
      </c>
      <c r="B26" t="s">
        <v>1</v>
      </c>
      <c r="C26">
        <v>149</v>
      </c>
      <c r="D26">
        <v>7728</v>
      </c>
      <c r="E26">
        <f t="shared" si="0"/>
        <v>2444</v>
      </c>
      <c r="G26" t="s">
        <v>57</v>
      </c>
      <c r="H26" t="s">
        <v>3</v>
      </c>
      <c r="I26">
        <v>100000</v>
      </c>
      <c r="J26" t="s">
        <v>32</v>
      </c>
    </row>
    <row r="27" spans="1:11" x14ac:dyDescent="0.2">
      <c r="A27" t="s">
        <v>27</v>
      </c>
      <c r="B27" t="s">
        <v>3</v>
      </c>
      <c r="C27">
        <v>100000</v>
      </c>
      <c r="D27" t="s">
        <v>32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Levin</dc:creator>
  <cp:lastModifiedBy>Michael Levin</cp:lastModifiedBy>
  <dcterms:created xsi:type="dcterms:W3CDTF">2025-07-09T18:47:27Z</dcterms:created>
  <dcterms:modified xsi:type="dcterms:W3CDTF">2025-07-14T20:16:37Z</dcterms:modified>
</cp:coreProperties>
</file>