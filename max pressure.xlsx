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chael/Downloads/"/>
    </mc:Choice>
  </mc:AlternateContent>
  <xr:revisionPtr revIDLastSave="0" documentId="13_ncr:1_{BC1C2D19-A366-FA4F-82FB-037B97752E99}" xr6:coauthVersionLast="47" xr6:coauthVersionMax="47" xr10:uidLastSave="{00000000-0000-0000-0000-000000000000}"/>
  <bookViews>
    <workbookView xWindow="7120" yWindow="2960" windowWidth="28040" windowHeight="13820" xr2:uid="{2E8B637D-8A5F-3246-B389-C02143C2E4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I3" i="1"/>
  <c r="J3" i="1"/>
  <c r="L3" i="1"/>
  <c r="K3" i="1" s="1"/>
  <c r="M3" i="1" s="1"/>
  <c r="G3" i="1"/>
  <c r="G2" i="1"/>
  <c r="H2" i="1" s="1"/>
  <c r="L2" i="1" s="1"/>
  <c r="K2" i="1" s="1"/>
  <c r="I2" i="1"/>
  <c r="J2" i="1"/>
  <c r="M2" i="1" l="1"/>
</calcChain>
</file>

<file path=xl/sharedStrings.xml><?xml version="1.0" encoding="utf-8"?>
<sst xmlns="http://schemas.openxmlformats.org/spreadsheetml/2006/main" count="13" uniqueCount="13">
  <si>
    <t>S_u</t>
  </si>
  <si>
    <t>S_r</t>
  </si>
  <si>
    <t>R_d</t>
  </si>
  <si>
    <t>w_u</t>
  </si>
  <si>
    <t>w_r</t>
  </si>
  <si>
    <t>lambda_1</t>
  </si>
  <si>
    <t>lambda_2</t>
  </si>
  <si>
    <t>lambda_3</t>
  </si>
  <si>
    <t>y_u</t>
  </si>
  <si>
    <t>y_r</t>
  </si>
  <si>
    <t>obj</t>
  </si>
  <si>
    <t>Q_r</t>
  </si>
  <si>
    <t>delta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</si>
</sst>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4C492-A65B-E042-8B90-B791966672FD}">
  <dimension ref="A1:M3"/>
  <sheetViews>
    <sheetView tabSelected="1" workbookViewId="0">
      <selection activeCell="L7" sqref="L7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12</v>
      </c>
      <c r="G1" t="s">
        <v>11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</row>
    <row r="2" spans="1:13" x14ac:dyDescent="0.2">
      <c r="A2">
        <v>35.799999999999997</v>
      </c>
      <c r="B2">
        <v>17.600000000000001</v>
      </c>
      <c r="C2">
        <v>35.799999999999997</v>
      </c>
      <c r="D2">
        <v>10</v>
      </c>
      <c r="E2">
        <v>5</v>
      </c>
      <c r="F2">
        <v>50</v>
      </c>
      <c r="G2">
        <f>2107*30/3600*F2/100</f>
        <v>8.7791666666666668</v>
      </c>
      <c r="H2">
        <f>MIN(A2,G2)</f>
        <v>8.7791666666666668</v>
      </c>
      <c r="I2">
        <f>2107/(2107+2150)*C2</f>
        <v>17.719191919191918</v>
      </c>
      <c r="J2">
        <f>C2-A2</f>
        <v>0</v>
      </c>
      <c r="K2">
        <f>C2-L2</f>
        <v>27.020833333333329</v>
      </c>
      <c r="L2">
        <f>MEDIAN(H2,I2,J2)</f>
        <v>8.7791666666666668</v>
      </c>
      <c r="M2">
        <f>K2*D2+L2*E2</f>
        <v>314.10416666666657</v>
      </c>
    </row>
    <row r="3" spans="1:13" x14ac:dyDescent="0.2">
      <c r="A3">
        <v>32</v>
      </c>
      <c r="B3">
        <v>17.600000000000001</v>
      </c>
      <c r="C3">
        <v>35.799999999999997</v>
      </c>
      <c r="D3">
        <v>50</v>
      </c>
      <c r="E3">
        <v>20</v>
      </c>
      <c r="F3">
        <v>20</v>
      </c>
      <c r="G3">
        <f>2107*30/3600*F3/100</f>
        <v>3.5116666666666667</v>
      </c>
      <c r="H3">
        <f>MIN(A3,G3)</f>
        <v>3.5116666666666667</v>
      </c>
      <c r="I3">
        <f>2107/(2107+2150)*C3</f>
        <v>17.719191919191918</v>
      </c>
      <c r="J3">
        <f>C3-A3</f>
        <v>3.7999999999999972</v>
      </c>
      <c r="K3">
        <f>C3-L3</f>
        <v>32</v>
      </c>
      <c r="L3">
        <f>MEDIAN(H3,I3,J3)</f>
        <v>3.7999999999999972</v>
      </c>
      <c r="M3">
        <f>K3*D3+L3*E3</f>
        <v>1676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Levin</dc:creator>
  <cp:lastModifiedBy>Michael Levin</cp:lastModifiedBy>
  <dcterms:created xsi:type="dcterms:W3CDTF">2025-06-26T02:04:19Z</dcterms:created>
  <dcterms:modified xsi:type="dcterms:W3CDTF">2025-06-27T13:16:02Z</dcterms:modified>
</cp:coreProperties>
</file>